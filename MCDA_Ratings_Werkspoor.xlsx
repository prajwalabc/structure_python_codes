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t/Documents/GitHub/Structural-group-5/"/>
    </mc:Choice>
  </mc:AlternateContent>
  <xr:revisionPtr revIDLastSave="0" documentId="13_ncr:1_{AF54290F-D2E7-264E-ADFB-2FD300AD9917}" xr6:coauthVersionLast="47" xr6:coauthVersionMax="47" xr10:uidLastSave="{00000000-0000-0000-0000-000000000000}"/>
  <bookViews>
    <workbookView xWindow="0" yWindow="500" windowWidth="23260" windowHeight="12460" activeTab="3" xr2:uid="{26C83A51-C2F9-474F-A238-2673A092AE5B}"/>
  </bookViews>
  <sheets>
    <sheet name="Nature by Prajwal" sheetId="4" r:id="rId1"/>
    <sheet name="Companies by Thijs" sheetId="3" r:id="rId2"/>
    <sheet name="Government by Thijmen" sheetId="2" r:id="rId3"/>
    <sheet name="Citizen by Amit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3" l="1"/>
  <c r="G34" i="4"/>
  <c r="G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4DDA345A-73D9-48AC-873E-EE36739842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Initial cost might impac the series of financial priorities of government leading to less priority for climate related issues
</t>
        </r>
      </text>
    </comment>
    <comment ref="G28" authorId="0" shapeId="0" xr:uid="{F2F2D73D-0340-40E8-AE09-416FAED45B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Long term structural benifits results into lower harm to environment and higher cost benifit over time
</t>
        </r>
      </text>
    </comment>
    <comment ref="G29" authorId="0" shapeId="0" xr:uid="{A0D79046-A410-439D-8790-B6C1F99BB2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Greenery and presence of vegetation
</t>
        </r>
      </text>
    </comment>
    <comment ref="G30" authorId="0" shapeId="0" xr:uid="{ADCE6BF6-FD02-45D6-A3D8-860D599C1F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Should be able to function with the climate change
</t>
        </r>
      </text>
    </comment>
    <comment ref="G31" authorId="0" shapeId="0" xr:uid="{47E5CF1C-56B5-4380-B128-4187BD8C5B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Carbon emission during construction
</t>
        </r>
      </text>
    </comment>
  </commentList>
</comments>
</file>

<file path=xl/sharedStrings.xml><?xml version="1.0" encoding="utf-8"?>
<sst xmlns="http://schemas.openxmlformats.org/spreadsheetml/2006/main" count="182" uniqueCount="105">
  <si>
    <t>MCDA Gold Coast Design Alternatives</t>
  </si>
  <si>
    <t>Stakeholder</t>
  </si>
  <si>
    <t>Criteria</t>
  </si>
  <si>
    <t>Artificial seaweed</t>
  </si>
  <si>
    <t>Artificial reef</t>
  </si>
  <si>
    <t>Breakwater</t>
  </si>
  <si>
    <t>Groynes</t>
  </si>
  <si>
    <t>Criteria_Weight</t>
  </si>
  <si>
    <t>Gold Coast City Council</t>
  </si>
  <si>
    <t>Beach use</t>
  </si>
  <si>
    <t>0.33</t>
  </si>
  <si>
    <t>Beach width and erosio control</t>
  </si>
  <si>
    <t>0.13</t>
  </si>
  <si>
    <t>Costs</t>
  </si>
  <si>
    <t>0.20</t>
  </si>
  <si>
    <t>Recreational opportunities</t>
  </si>
  <si>
    <t>0.07</t>
  </si>
  <si>
    <t>Safety</t>
  </si>
  <si>
    <t>0.27</t>
  </si>
  <si>
    <t>Local Community</t>
  </si>
  <si>
    <t>Beach width</t>
  </si>
  <si>
    <t>0.35</t>
  </si>
  <si>
    <t>Environmental impact</t>
  </si>
  <si>
    <t>0.05</t>
  </si>
  <si>
    <t>0.50</t>
  </si>
  <si>
    <t>0.10</t>
  </si>
  <si>
    <t>Research Community</t>
  </si>
  <si>
    <t>Erosion control</t>
  </si>
  <si>
    <t>Wave creation</t>
  </si>
  <si>
    <t>0.17</t>
  </si>
  <si>
    <t>Surfing Community</t>
  </si>
  <si>
    <t>Environmental</t>
  </si>
  <si>
    <t>Surfing quality</t>
  </si>
  <si>
    <t>0.67</t>
  </si>
  <si>
    <t>Tourist Sector</t>
  </si>
  <si>
    <t>Railway functionality</t>
  </si>
  <si>
    <t>tunnel</t>
  </si>
  <si>
    <t>don’t widen river</t>
  </si>
  <si>
    <t>City Citizens</t>
  </si>
  <si>
    <t>Construction Disruption</t>
  </si>
  <si>
    <t>truss bridge</t>
  </si>
  <si>
    <t>use another bridge</t>
  </si>
  <si>
    <t>Visual appeal</t>
  </si>
  <si>
    <t>reasoning</t>
  </si>
  <si>
    <t xml:space="preserve">demka would remain operational </t>
  </si>
  <si>
    <t>new bridge while demka is renovated</t>
  </si>
  <si>
    <t>track remains opperational</t>
  </si>
  <si>
    <t>tunnel not as safe due to fires, floods, whatever will make pedestrians need to evacuate</t>
  </si>
  <si>
    <t>Werkspoor bridge alternative solutions</t>
  </si>
  <si>
    <t>eliminates construction related risks</t>
  </si>
  <si>
    <t xml:space="preserve"> </t>
  </si>
  <si>
    <t>stable bridge, but introduces large exposed structure</t>
  </si>
  <si>
    <t>transport lines still opperational but need to detour to another bridge. Not convinient. Also, less capacity</t>
  </si>
  <si>
    <t>pedestrians can safely use another bridge</t>
  </si>
  <si>
    <t>Long-term functionality</t>
  </si>
  <si>
    <t>tunnel can remain opperational</t>
  </si>
  <si>
    <t>river needs to be widened to meet increasing shipping demands</t>
  </si>
  <si>
    <t>not as pretty as Werkspoor bridge</t>
  </si>
  <si>
    <t>reliable and sustainable long term solution</t>
  </si>
  <si>
    <t>will put too much pressure on surrounding transit lines that will likely exceed its capacity, as it was not deisgned to accommodate</t>
  </si>
  <si>
    <t>lots of noise and distruption to ground due to drilling the tunnel hole</t>
  </si>
  <si>
    <t>no contruction required</t>
  </si>
  <si>
    <t>large scale construction project</t>
  </si>
  <si>
    <t>this would require transit lines to increase their capacity to accommodate, lots of contruction will be required</t>
  </si>
  <si>
    <t>tunnel construction can have significant enviornmental impacts</t>
  </si>
  <si>
    <t>avoids new construction project</t>
  </si>
  <si>
    <t>bridge construction project will have lots of enviornmenatal impacts</t>
  </si>
  <si>
    <t>will reuse existing infrastructure but that infrastructure will need to be upgraded and will thus demand construction, causing environmental impacts</t>
  </si>
  <si>
    <t>most of tunnel infrastructure is underrground so it does not imact the visuals of the area</t>
  </si>
  <si>
    <t>no new construction project required</t>
  </si>
  <si>
    <t>existing transit infrastructure will need to be renovated to accommodate increased demand, can potentially affect visual appeal of area</t>
  </si>
  <si>
    <t>Werkspoor bridge</t>
  </si>
  <si>
    <t>Criteria Weight</t>
  </si>
  <si>
    <t>Werkppoor bridge</t>
  </si>
  <si>
    <t>alternate rail lines running during revovation of demka bridge</t>
  </si>
  <si>
    <t>will increase line capacity after demka is renovated</t>
  </si>
  <si>
    <t>lots of steel required, though not as much as the truss bridge</t>
  </si>
  <si>
    <t>very pretty bridge</t>
  </si>
  <si>
    <t>Criterium</t>
  </si>
  <si>
    <t>Tunnel</t>
  </si>
  <si>
    <t>Don't widen river</t>
  </si>
  <si>
    <t>Truss bridge</t>
  </si>
  <si>
    <t>Initial cost</t>
  </si>
  <si>
    <t>Capacity</t>
  </si>
  <si>
    <t>Durability</t>
  </si>
  <si>
    <t>Life cycle costs</t>
  </si>
  <si>
    <t>Fit within surrounding</t>
  </si>
  <si>
    <t>Climate adaptation</t>
  </si>
  <si>
    <t>Emissions</t>
  </si>
  <si>
    <t>Accessibility (transport)</t>
  </si>
  <si>
    <t>Constructability</t>
  </si>
  <si>
    <t>Bridge somewhere sle</t>
  </si>
  <si>
    <t>Werspoorbridge</t>
  </si>
  <si>
    <t>Criteriaweight</t>
  </si>
  <si>
    <t>Bridge somewhere else</t>
  </si>
  <si>
    <t>Aquatic life</t>
  </si>
  <si>
    <t>Emissions during construction</t>
  </si>
  <si>
    <t>Fit within surrounding (In terms of vegetation)</t>
  </si>
  <si>
    <t>Energy use during lifecycle</t>
  </si>
  <si>
    <t>Companies</t>
  </si>
  <si>
    <t xml:space="preserve">Safety </t>
  </si>
  <si>
    <t>If the structure is safe the comapnies can use it</t>
  </si>
  <si>
    <t>Higher capicity equals more use</t>
  </si>
  <si>
    <t>Less maintenance means more use</t>
  </si>
  <si>
    <t xml:space="preserve">Potential payments they need to make (help paying).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</si>
</sst>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1EC2-64DE-445B-8154-60469756B239}">
  <dimension ref="A1:G34"/>
  <sheetViews>
    <sheetView topLeftCell="D1" zoomScale="93" workbookViewId="0">
      <selection activeCell="J1" sqref="J1:R24"/>
    </sheetView>
  </sheetViews>
  <sheetFormatPr baseColWidth="10" defaultColWidth="8.83203125" defaultRowHeight="15" x14ac:dyDescent="0.2"/>
  <cols>
    <col min="1" max="1" width="29.1640625" bestFit="1" customWidth="1"/>
    <col min="2" max="2" width="24" bestFit="1" customWidth="1"/>
    <col min="3" max="3" width="15.6640625" bestFit="1" customWidth="1"/>
    <col min="4" max="4" width="11.1640625" bestFit="1" customWidth="1"/>
    <col min="5" max="5" width="16.5" bestFit="1" customWidth="1"/>
    <col min="6" max="6" width="14.1640625" customWidth="1"/>
    <col min="7" max="7" width="14.1640625" bestFit="1" customWidth="1"/>
    <col min="10" max="10" width="24.6640625" bestFit="1" customWidth="1"/>
    <col min="11" max="11" width="20.5" bestFit="1" customWidth="1"/>
    <col min="12" max="12" width="14" bestFit="1" customWidth="1"/>
    <col min="13" max="13" width="8.1640625" customWidth="1"/>
    <col min="14" max="14" width="12.83203125" customWidth="1"/>
    <col min="15" max="15" width="10.6640625" customWidth="1"/>
    <col min="16" max="16" width="15" customWidth="1"/>
    <col min="17" max="17" width="9.6640625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 t="s">
        <v>8</v>
      </c>
      <c r="B3" t="s">
        <v>9</v>
      </c>
      <c r="C3">
        <v>80</v>
      </c>
      <c r="D3">
        <v>100</v>
      </c>
      <c r="E3">
        <v>10</v>
      </c>
      <c r="F3">
        <v>0</v>
      </c>
      <c r="G3" t="s">
        <v>10</v>
      </c>
    </row>
    <row r="4" spans="1:7" x14ac:dyDescent="0.2">
      <c r="A4" t="s">
        <v>8</v>
      </c>
      <c r="B4" t="s">
        <v>11</v>
      </c>
      <c r="C4">
        <v>25</v>
      </c>
      <c r="D4">
        <v>0</v>
      </c>
      <c r="E4">
        <v>80</v>
      </c>
      <c r="F4">
        <v>100</v>
      </c>
      <c r="G4" t="s">
        <v>12</v>
      </c>
    </row>
    <row r="5" spans="1:7" x14ac:dyDescent="0.2">
      <c r="A5" t="s">
        <v>8</v>
      </c>
      <c r="B5" t="s">
        <v>13</v>
      </c>
      <c r="C5">
        <v>50</v>
      </c>
      <c r="D5">
        <v>50</v>
      </c>
      <c r="E5">
        <v>0</v>
      </c>
      <c r="F5">
        <v>100</v>
      </c>
      <c r="G5" t="s">
        <v>14</v>
      </c>
    </row>
    <row r="6" spans="1:7" x14ac:dyDescent="0.2">
      <c r="A6" t="s">
        <v>8</v>
      </c>
      <c r="B6" t="s">
        <v>15</v>
      </c>
      <c r="C6">
        <v>80</v>
      </c>
      <c r="D6">
        <v>100</v>
      </c>
      <c r="E6">
        <v>0</v>
      </c>
      <c r="F6">
        <v>0</v>
      </c>
      <c r="G6" t="s">
        <v>16</v>
      </c>
    </row>
    <row r="7" spans="1:7" x14ac:dyDescent="0.2">
      <c r="A7" t="s">
        <v>8</v>
      </c>
      <c r="B7" t="s">
        <v>17</v>
      </c>
      <c r="C7">
        <v>100</v>
      </c>
      <c r="D7">
        <v>0</v>
      </c>
      <c r="E7">
        <v>75</v>
      </c>
      <c r="F7">
        <v>75</v>
      </c>
      <c r="G7" t="s">
        <v>18</v>
      </c>
    </row>
    <row r="8" spans="1:7" x14ac:dyDescent="0.2">
      <c r="A8" t="s">
        <v>19</v>
      </c>
      <c r="B8" t="s">
        <v>20</v>
      </c>
      <c r="C8">
        <v>0</v>
      </c>
      <c r="D8">
        <v>0</v>
      </c>
      <c r="E8">
        <v>80</v>
      </c>
      <c r="F8">
        <v>100</v>
      </c>
      <c r="G8" t="s">
        <v>21</v>
      </c>
    </row>
    <row r="9" spans="1:7" x14ac:dyDescent="0.2">
      <c r="A9" t="s">
        <v>19</v>
      </c>
      <c r="B9" t="s">
        <v>22</v>
      </c>
      <c r="C9">
        <v>100</v>
      </c>
      <c r="D9">
        <v>100</v>
      </c>
      <c r="E9">
        <v>0</v>
      </c>
      <c r="F9">
        <v>0</v>
      </c>
      <c r="G9" t="s">
        <v>23</v>
      </c>
    </row>
    <row r="10" spans="1:7" x14ac:dyDescent="0.2">
      <c r="A10" t="s">
        <v>19</v>
      </c>
      <c r="B10" t="s">
        <v>15</v>
      </c>
      <c r="C10">
        <v>70</v>
      </c>
      <c r="D10">
        <v>100</v>
      </c>
      <c r="E10">
        <v>0</v>
      </c>
      <c r="F10">
        <v>0</v>
      </c>
      <c r="G10" t="s">
        <v>24</v>
      </c>
    </row>
    <row r="11" spans="1:7" x14ac:dyDescent="0.2">
      <c r="A11" t="s">
        <v>19</v>
      </c>
      <c r="B11" t="s">
        <v>17</v>
      </c>
      <c r="C11">
        <v>100</v>
      </c>
      <c r="D11">
        <v>0</v>
      </c>
      <c r="E11">
        <v>75</v>
      </c>
      <c r="F11">
        <v>75</v>
      </c>
      <c r="G11" t="s">
        <v>25</v>
      </c>
    </row>
    <row r="12" spans="1:7" x14ac:dyDescent="0.2">
      <c r="A12" t="s">
        <v>26</v>
      </c>
      <c r="B12" t="s">
        <v>27</v>
      </c>
      <c r="C12">
        <v>80</v>
      </c>
      <c r="D12">
        <v>100</v>
      </c>
      <c r="E12">
        <v>20</v>
      </c>
      <c r="F12">
        <v>0</v>
      </c>
      <c r="G12" t="s">
        <v>10</v>
      </c>
    </row>
    <row r="13" spans="1:7" x14ac:dyDescent="0.2">
      <c r="A13" t="s">
        <v>26</v>
      </c>
      <c r="B13" t="s">
        <v>22</v>
      </c>
      <c r="C13">
        <v>100</v>
      </c>
      <c r="D13">
        <v>50</v>
      </c>
      <c r="E13">
        <v>0</v>
      </c>
      <c r="F13">
        <v>0</v>
      </c>
      <c r="G13" t="s">
        <v>24</v>
      </c>
    </row>
    <row r="14" spans="1:7" x14ac:dyDescent="0.2">
      <c r="A14" t="s">
        <v>26</v>
      </c>
      <c r="B14" t="s">
        <v>28</v>
      </c>
      <c r="C14">
        <v>0</v>
      </c>
      <c r="D14">
        <v>100</v>
      </c>
      <c r="E14">
        <v>0</v>
      </c>
      <c r="F14">
        <v>10</v>
      </c>
      <c r="G14" t="s">
        <v>29</v>
      </c>
    </row>
    <row r="15" spans="1:7" x14ac:dyDescent="0.2">
      <c r="A15" t="s">
        <v>30</v>
      </c>
      <c r="B15" t="s">
        <v>31</v>
      </c>
      <c r="C15">
        <v>100</v>
      </c>
      <c r="D15">
        <v>90</v>
      </c>
      <c r="E15">
        <v>0</v>
      </c>
      <c r="F15">
        <v>0</v>
      </c>
      <c r="G15" t="s">
        <v>10</v>
      </c>
    </row>
    <row r="16" spans="1:7" x14ac:dyDescent="0.2">
      <c r="A16" t="s">
        <v>30</v>
      </c>
      <c r="B16" t="s">
        <v>32</v>
      </c>
      <c r="C16">
        <v>0</v>
      </c>
      <c r="D16">
        <v>100</v>
      </c>
      <c r="E16">
        <v>0</v>
      </c>
      <c r="F16">
        <v>5</v>
      </c>
      <c r="G16" t="s">
        <v>33</v>
      </c>
    </row>
    <row r="17" spans="1:7" x14ac:dyDescent="0.2">
      <c r="A17" t="s">
        <v>34</v>
      </c>
      <c r="B17" t="s">
        <v>20</v>
      </c>
      <c r="C17">
        <v>0</v>
      </c>
      <c r="D17">
        <v>0</v>
      </c>
      <c r="E17">
        <v>80</v>
      </c>
      <c r="F17">
        <v>100</v>
      </c>
      <c r="G17" t="s">
        <v>33</v>
      </c>
    </row>
    <row r="18" spans="1:7" x14ac:dyDescent="0.2">
      <c r="A18" t="s">
        <v>34</v>
      </c>
      <c r="B18" t="s">
        <v>15</v>
      </c>
      <c r="C18">
        <v>70</v>
      </c>
      <c r="D18">
        <v>100</v>
      </c>
      <c r="E18">
        <v>0</v>
      </c>
      <c r="F18">
        <v>0</v>
      </c>
      <c r="G18" t="s">
        <v>10</v>
      </c>
    </row>
    <row r="26" spans="1:7" ht="32" x14ac:dyDescent="0.2">
      <c r="A26" s="1" t="s">
        <v>78</v>
      </c>
      <c r="B26" s="2" t="s">
        <v>79</v>
      </c>
      <c r="C26" s="2" t="s">
        <v>80</v>
      </c>
      <c r="D26" s="2" t="s">
        <v>81</v>
      </c>
      <c r="E26" s="2" t="s">
        <v>94</v>
      </c>
      <c r="F26" s="2" t="s">
        <v>92</v>
      </c>
      <c r="G26" s="2" t="s">
        <v>93</v>
      </c>
    </row>
    <row r="27" spans="1:7" ht="16" x14ac:dyDescent="0.2">
      <c r="A27" s="3" t="s">
        <v>82</v>
      </c>
      <c r="B27" s="2">
        <v>2</v>
      </c>
      <c r="C27" s="2">
        <v>10</v>
      </c>
      <c r="D27" s="2">
        <v>5</v>
      </c>
      <c r="E27" s="2">
        <v>5</v>
      </c>
      <c r="F27" s="2">
        <v>5</v>
      </c>
      <c r="G27" s="2">
        <v>0.05</v>
      </c>
    </row>
    <row r="28" spans="1:7" ht="16" x14ac:dyDescent="0.2">
      <c r="A28" s="3" t="s">
        <v>84</v>
      </c>
      <c r="B28" s="2">
        <v>9</v>
      </c>
      <c r="C28" s="2">
        <v>5</v>
      </c>
      <c r="D28" s="2">
        <v>8</v>
      </c>
      <c r="E28" s="2">
        <v>8</v>
      </c>
      <c r="F28" s="2">
        <v>8</v>
      </c>
      <c r="G28" s="2">
        <v>0.1</v>
      </c>
    </row>
    <row r="29" spans="1:7" ht="32" x14ac:dyDescent="0.2">
      <c r="A29" s="3" t="s">
        <v>97</v>
      </c>
      <c r="B29" s="2">
        <v>6</v>
      </c>
      <c r="C29" s="2">
        <v>10</v>
      </c>
      <c r="D29" s="2">
        <v>8</v>
      </c>
      <c r="E29" s="2">
        <v>5</v>
      </c>
      <c r="F29" s="2">
        <v>8</v>
      </c>
      <c r="G29" s="2">
        <v>0.1</v>
      </c>
    </row>
    <row r="30" spans="1:7" ht="16" x14ac:dyDescent="0.2">
      <c r="A30" s="3" t="s">
        <v>87</v>
      </c>
      <c r="B30" s="2">
        <v>10</v>
      </c>
      <c r="C30" s="2">
        <v>3</v>
      </c>
      <c r="D30" s="2">
        <v>8</v>
      </c>
      <c r="E30" s="2">
        <v>8</v>
      </c>
      <c r="F30" s="2">
        <v>8</v>
      </c>
      <c r="G30" s="2">
        <v>0.2</v>
      </c>
    </row>
    <row r="31" spans="1:7" ht="16" x14ac:dyDescent="0.2">
      <c r="A31" s="3" t="s">
        <v>96</v>
      </c>
      <c r="B31" s="2">
        <v>2</v>
      </c>
      <c r="C31" s="2">
        <v>10</v>
      </c>
      <c r="D31" s="2">
        <v>5</v>
      </c>
      <c r="E31" s="2">
        <v>5</v>
      </c>
      <c r="F31" s="2">
        <v>7</v>
      </c>
      <c r="G31" s="2">
        <v>0.25</v>
      </c>
    </row>
    <row r="32" spans="1:7" ht="16" x14ac:dyDescent="0.2">
      <c r="A32" s="3" t="s">
        <v>98</v>
      </c>
      <c r="B32" s="2">
        <v>2</v>
      </c>
      <c r="C32" s="2">
        <v>10</v>
      </c>
      <c r="D32" s="2">
        <v>8</v>
      </c>
      <c r="E32" s="2">
        <v>8</v>
      </c>
      <c r="F32" s="2">
        <v>8</v>
      </c>
      <c r="G32" s="2">
        <v>0.2</v>
      </c>
    </row>
    <row r="33" spans="1:7" ht="16" x14ac:dyDescent="0.2">
      <c r="A33" s="3" t="s">
        <v>95</v>
      </c>
      <c r="B33" s="2">
        <v>9</v>
      </c>
      <c r="C33" s="2">
        <v>10</v>
      </c>
      <c r="D33" s="2">
        <v>5</v>
      </c>
      <c r="E33" s="2">
        <v>5</v>
      </c>
      <c r="F33" s="2">
        <v>5</v>
      </c>
      <c r="G33" s="2">
        <v>0.1</v>
      </c>
    </row>
    <row r="34" spans="1:7" x14ac:dyDescent="0.2">
      <c r="G34">
        <f>SUM(G27:G33)</f>
        <v>0.99999999999999989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AA9E-6EE8-44A9-9DEF-7D9FA314DBCA}">
  <dimension ref="B2:H15"/>
  <sheetViews>
    <sheetView workbookViewId="0">
      <selection activeCell="H14" sqref="H14"/>
    </sheetView>
  </sheetViews>
  <sheetFormatPr baseColWidth="10" defaultColWidth="8.83203125" defaultRowHeight="15" x14ac:dyDescent="0.2"/>
  <cols>
    <col min="1" max="1" width="32.1640625" bestFit="1" customWidth="1"/>
    <col min="2" max="2" width="25.6640625" bestFit="1" customWidth="1"/>
    <col min="3" max="3" width="14.83203125" bestFit="1" customWidth="1"/>
    <col min="4" max="4" width="10.83203125" bestFit="1" customWidth="1"/>
    <col min="5" max="5" width="9.6640625" bestFit="1" customWidth="1"/>
    <col min="6" max="6" width="7.5" bestFit="1" customWidth="1"/>
    <col min="7" max="7" width="13.1640625" bestFit="1" customWidth="1"/>
  </cols>
  <sheetData>
    <row r="2" spans="2:8" x14ac:dyDescent="0.2">
      <c r="B2" t="s">
        <v>99</v>
      </c>
    </row>
    <row r="4" spans="2:8" ht="48" x14ac:dyDescent="0.2">
      <c r="B4" s="1" t="s">
        <v>78</v>
      </c>
      <c r="C4" s="2" t="s">
        <v>79</v>
      </c>
      <c r="D4" s="2" t="s">
        <v>80</v>
      </c>
      <c r="E4" s="2" t="s">
        <v>81</v>
      </c>
      <c r="F4" s="2" t="s">
        <v>94</v>
      </c>
      <c r="G4" s="2" t="s">
        <v>92</v>
      </c>
      <c r="H4" s="2" t="s">
        <v>93</v>
      </c>
    </row>
    <row r="5" spans="2:8" ht="16" x14ac:dyDescent="0.2">
      <c r="B5" s="3" t="s">
        <v>17</v>
      </c>
      <c r="C5" s="2">
        <v>8</v>
      </c>
      <c r="D5" s="2">
        <v>4</v>
      </c>
      <c r="E5" s="2">
        <v>7</v>
      </c>
      <c r="F5" s="2">
        <v>7</v>
      </c>
      <c r="G5" s="2">
        <v>7</v>
      </c>
      <c r="H5" s="2">
        <v>0.2</v>
      </c>
    </row>
    <row r="6" spans="2:8" ht="16" x14ac:dyDescent="0.2">
      <c r="B6" s="3" t="s">
        <v>83</v>
      </c>
      <c r="C6" s="2">
        <v>8</v>
      </c>
      <c r="D6" s="2">
        <v>3</v>
      </c>
      <c r="E6" s="2">
        <v>8</v>
      </c>
      <c r="F6" s="2">
        <v>8</v>
      </c>
      <c r="G6" s="2">
        <v>8</v>
      </c>
      <c r="H6" s="2">
        <v>0.4</v>
      </c>
    </row>
    <row r="7" spans="2:8" ht="16" x14ac:dyDescent="0.2">
      <c r="B7" s="3" t="s">
        <v>84</v>
      </c>
      <c r="C7" s="2">
        <v>8</v>
      </c>
      <c r="D7" s="2">
        <v>2</v>
      </c>
      <c r="E7" s="2">
        <v>8</v>
      </c>
      <c r="F7" s="2">
        <v>9</v>
      </c>
      <c r="G7" s="2">
        <v>8</v>
      </c>
      <c r="H7" s="2">
        <v>0.3</v>
      </c>
    </row>
    <row r="8" spans="2:8" ht="16" x14ac:dyDescent="0.2">
      <c r="B8" s="3" t="s">
        <v>85</v>
      </c>
      <c r="C8" s="2">
        <v>5</v>
      </c>
      <c r="D8" s="2">
        <v>3</v>
      </c>
      <c r="E8" s="2">
        <v>7</v>
      </c>
      <c r="F8" s="2">
        <v>7</v>
      </c>
      <c r="G8" s="2">
        <v>7</v>
      </c>
      <c r="H8" s="2">
        <v>0.1</v>
      </c>
    </row>
    <row r="9" spans="2:8" x14ac:dyDescent="0.2">
      <c r="H9">
        <f>SUM(H5:H8)</f>
        <v>1.0000000000000002</v>
      </c>
    </row>
    <row r="11" spans="2:8" ht="16" x14ac:dyDescent="0.2">
      <c r="B11" s="3" t="s">
        <v>99</v>
      </c>
      <c r="C11" t="s">
        <v>43</v>
      </c>
    </row>
    <row r="12" spans="2:8" ht="16" x14ac:dyDescent="0.2">
      <c r="B12" s="3" t="s">
        <v>100</v>
      </c>
      <c r="C12" t="s">
        <v>101</v>
      </c>
    </row>
    <row r="13" spans="2:8" ht="16" x14ac:dyDescent="0.2">
      <c r="B13" s="3" t="s">
        <v>83</v>
      </c>
      <c r="C13" t="s">
        <v>102</v>
      </c>
    </row>
    <row r="14" spans="2:8" ht="16" x14ac:dyDescent="0.2">
      <c r="B14" s="3" t="s">
        <v>84</v>
      </c>
      <c r="C14" t="s">
        <v>103</v>
      </c>
    </row>
    <row r="15" spans="2:8" ht="16" x14ac:dyDescent="0.2">
      <c r="B15" s="3" t="s">
        <v>85</v>
      </c>
      <c r="C15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3D97-BC3F-49A1-B8F4-F095906B505B}">
  <dimension ref="A2:G13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32.1640625" bestFit="1" customWidth="1"/>
    <col min="2" max="2" width="25.6640625" bestFit="1" customWidth="1"/>
    <col min="3" max="3" width="14.83203125" bestFit="1" customWidth="1"/>
    <col min="4" max="4" width="10.83203125" bestFit="1" customWidth="1"/>
    <col min="5" max="5" width="21.5" customWidth="1"/>
    <col min="6" max="6" width="19.33203125" customWidth="1"/>
    <col min="7" max="7" width="13.1640625" bestFit="1" customWidth="1"/>
  </cols>
  <sheetData>
    <row r="2" spans="1:7" ht="16" x14ac:dyDescent="0.2">
      <c r="A2" s="1" t="s">
        <v>78</v>
      </c>
      <c r="B2" s="2" t="s">
        <v>79</v>
      </c>
      <c r="C2" s="2" t="s">
        <v>80</v>
      </c>
      <c r="D2" s="2" t="s">
        <v>81</v>
      </c>
      <c r="E2" s="2" t="s">
        <v>91</v>
      </c>
      <c r="F2" s="2" t="s">
        <v>92</v>
      </c>
      <c r="G2" s="2" t="s">
        <v>93</v>
      </c>
    </row>
    <row r="3" spans="1:7" ht="16" x14ac:dyDescent="0.2">
      <c r="A3" s="3" t="s">
        <v>82</v>
      </c>
      <c r="B3" s="2">
        <v>3</v>
      </c>
      <c r="C3" s="2">
        <v>10</v>
      </c>
      <c r="D3" s="2">
        <v>6</v>
      </c>
      <c r="E3" s="2">
        <v>4</v>
      </c>
      <c r="F3" s="2">
        <v>6</v>
      </c>
      <c r="G3" s="2">
        <v>0.15</v>
      </c>
    </row>
    <row r="4" spans="1:7" ht="16" x14ac:dyDescent="0.2">
      <c r="A4" s="3" t="s">
        <v>17</v>
      </c>
      <c r="B4" s="2">
        <v>8</v>
      </c>
      <c r="C4" s="2">
        <v>4</v>
      </c>
      <c r="D4" s="2">
        <v>7</v>
      </c>
      <c r="E4" s="2">
        <v>7</v>
      </c>
      <c r="F4" s="2">
        <v>7</v>
      </c>
      <c r="G4" s="2">
        <v>0.13</v>
      </c>
    </row>
    <row r="5" spans="1:7" ht="16" x14ac:dyDescent="0.2">
      <c r="A5" s="3" t="s">
        <v>83</v>
      </c>
      <c r="B5" s="2">
        <v>8</v>
      </c>
      <c r="C5" s="2">
        <v>3</v>
      </c>
      <c r="D5" s="2">
        <v>8</v>
      </c>
      <c r="E5" s="2">
        <v>8</v>
      </c>
      <c r="F5" s="2">
        <v>8</v>
      </c>
      <c r="G5" s="2">
        <v>0.15</v>
      </c>
    </row>
    <row r="6" spans="1:7" ht="16" x14ac:dyDescent="0.2">
      <c r="A6" s="3" t="s">
        <v>84</v>
      </c>
      <c r="B6" s="2">
        <v>8</v>
      </c>
      <c r="C6" s="2">
        <v>2</v>
      </c>
      <c r="D6" s="2">
        <v>8</v>
      </c>
      <c r="E6" s="2">
        <v>9</v>
      </c>
      <c r="F6" s="2">
        <v>8</v>
      </c>
      <c r="G6" s="2">
        <v>7.0000000000000007E-2</v>
      </c>
    </row>
    <row r="7" spans="1:7" ht="16" x14ac:dyDescent="0.2">
      <c r="A7" s="3" t="s">
        <v>85</v>
      </c>
      <c r="B7" s="2">
        <v>5</v>
      </c>
      <c r="C7" s="2">
        <v>3</v>
      </c>
      <c r="D7" s="2">
        <v>7</v>
      </c>
      <c r="E7" s="2">
        <v>7</v>
      </c>
      <c r="F7" s="2">
        <v>7</v>
      </c>
      <c r="G7" s="2">
        <v>0.1</v>
      </c>
    </row>
    <row r="8" spans="1:7" ht="16" x14ac:dyDescent="0.2">
      <c r="A8" s="3" t="s">
        <v>86</v>
      </c>
      <c r="B8" s="2">
        <v>7</v>
      </c>
      <c r="C8" s="2">
        <v>10</v>
      </c>
      <c r="D8" s="2">
        <v>5</v>
      </c>
      <c r="E8" s="2">
        <v>7</v>
      </c>
      <c r="F8" s="2">
        <v>6</v>
      </c>
      <c r="G8" s="2">
        <v>0.05</v>
      </c>
    </row>
    <row r="9" spans="1:7" ht="16" x14ac:dyDescent="0.2">
      <c r="A9" s="3" t="s">
        <v>87</v>
      </c>
      <c r="B9" s="2">
        <v>5</v>
      </c>
      <c r="C9" s="2">
        <v>3</v>
      </c>
      <c r="D9" s="2">
        <v>7</v>
      </c>
      <c r="E9" s="2">
        <v>7</v>
      </c>
      <c r="F9" s="2">
        <v>7</v>
      </c>
      <c r="G9" s="2">
        <v>0.1</v>
      </c>
    </row>
    <row r="10" spans="1:7" ht="16" x14ac:dyDescent="0.2">
      <c r="A10" s="3" t="s">
        <v>88</v>
      </c>
      <c r="B10" s="2">
        <v>2</v>
      </c>
      <c r="C10" s="2">
        <v>10</v>
      </c>
      <c r="D10" s="2">
        <v>5</v>
      </c>
      <c r="E10" s="2">
        <v>4</v>
      </c>
      <c r="F10" s="2">
        <v>5</v>
      </c>
      <c r="G10" s="2">
        <v>0.1</v>
      </c>
    </row>
    <row r="11" spans="1:7" ht="16" x14ac:dyDescent="0.2">
      <c r="A11" s="3" t="s">
        <v>89</v>
      </c>
      <c r="B11" s="2">
        <v>8</v>
      </c>
      <c r="C11" s="2">
        <v>3</v>
      </c>
      <c r="D11" s="2">
        <v>8</v>
      </c>
      <c r="E11" s="2">
        <v>6</v>
      </c>
      <c r="F11" s="2">
        <v>8</v>
      </c>
      <c r="G11" s="2">
        <v>0.08</v>
      </c>
    </row>
    <row r="12" spans="1:7" ht="16" x14ac:dyDescent="0.2">
      <c r="A12" s="3" t="s">
        <v>90</v>
      </c>
      <c r="B12" s="2">
        <v>3</v>
      </c>
      <c r="C12" s="2">
        <v>10</v>
      </c>
      <c r="D12" s="2">
        <v>6</v>
      </c>
      <c r="E12" s="2">
        <v>4</v>
      </c>
      <c r="F12" s="2">
        <v>6</v>
      </c>
      <c r="G12" s="2">
        <v>7.0000000000000007E-2</v>
      </c>
    </row>
    <row r="13" spans="1:7" x14ac:dyDescent="0.2">
      <c r="G13">
        <f>SUM(G3:G12)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D4CE-8BDF-4BD2-8CFC-2B5D7CFE333B}">
  <dimension ref="B2:I24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10.6640625" customWidth="1"/>
    <col min="2" max="2" width="29.6640625" bestFit="1" customWidth="1"/>
    <col min="3" max="3" width="19" bestFit="1" customWidth="1"/>
    <col min="4" max="4" width="10.83203125" bestFit="1" customWidth="1"/>
    <col min="5" max="5" width="9.6640625" bestFit="1" customWidth="1"/>
    <col min="6" max="6" width="7.5" bestFit="1" customWidth="1"/>
    <col min="7" max="7" width="13.1640625" bestFit="1" customWidth="1"/>
  </cols>
  <sheetData>
    <row r="2" spans="2:9" x14ac:dyDescent="0.2">
      <c r="B2" t="s">
        <v>48</v>
      </c>
    </row>
    <row r="3" spans="2:9" x14ac:dyDescent="0.2">
      <c r="B3" t="s">
        <v>1</v>
      </c>
      <c r="C3" t="s">
        <v>2</v>
      </c>
      <c r="D3" t="s">
        <v>71</v>
      </c>
      <c r="E3" t="s">
        <v>36</v>
      </c>
      <c r="F3" t="s">
        <v>37</v>
      </c>
      <c r="G3" t="s">
        <v>40</v>
      </c>
      <c r="H3" t="s">
        <v>41</v>
      </c>
      <c r="I3" t="s">
        <v>72</v>
      </c>
    </row>
    <row r="4" spans="2:9" x14ac:dyDescent="0.2">
      <c r="B4" t="s">
        <v>38</v>
      </c>
      <c r="C4" t="s">
        <v>35</v>
      </c>
      <c r="D4">
        <v>100</v>
      </c>
      <c r="E4">
        <v>100</v>
      </c>
      <c r="F4">
        <v>80</v>
      </c>
      <c r="G4">
        <v>100</v>
      </c>
      <c r="H4">
        <v>40</v>
      </c>
      <c r="I4">
        <v>25</v>
      </c>
    </row>
    <row r="5" spans="2:9" x14ac:dyDescent="0.2">
      <c r="B5" t="s">
        <v>38</v>
      </c>
      <c r="C5" t="s">
        <v>17</v>
      </c>
      <c r="D5">
        <v>90</v>
      </c>
      <c r="E5">
        <v>60</v>
      </c>
      <c r="F5">
        <v>80</v>
      </c>
      <c r="G5">
        <v>90</v>
      </c>
      <c r="H5">
        <v>70</v>
      </c>
      <c r="I5">
        <v>20</v>
      </c>
    </row>
    <row r="6" spans="2:9" x14ac:dyDescent="0.2">
      <c r="B6" t="s">
        <v>38</v>
      </c>
      <c r="C6" t="s">
        <v>39</v>
      </c>
      <c r="D6">
        <v>50</v>
      </c>
      <c r="E6">
        <v>40</v>
      </c>
      <c r="F6">
        <v>100</v>
      </c>
      <c r="G6">
        <v>50</v>
      </c>
      <c r="H6">
        <v>30</v>
      </c>
      <c r="I6">
        <v>20</v>
      </c>
    </row>
    <row r="7" spans="2:9" x14ac:dyDescent="0.2">
      <c r="B7" t="s">
        <v>38</v>
      </c>
      <c r="C7" t="s">
        <v>54</v>
      </c>
      <c r="D7">
        <v>80</v>
      </c>
      <c r="E7">
        <v>80</v>
      </c>
      <c r="F7">
        <v>10</v>
      </c>
      <c r="G7">
        <v>80</v>
      </c>
      <c r="H7">
        <v>30</v>
      </c>
      <c r="I7">
        <v>15</v>
      </c>
    </row>
    <row r="8" spans="2:9" x14ac:dyDescent="0.2">
      <c r="B8" t="s">
        <v>38</v>
      </c>
      <c r="C8" t="s">
        <v>22</v>
      </c>
      <c r="D8">
        <v>60</v>
      </c>
      <c r="E8">
        <v>50</v>
      </c>
      <c r="F8">
        <v>90</v>
      </c>
      <c r="G8">
        <v>50</v>
      </c>
      <c r="H8">
        <v>60</v>
      </c>
      <c r="I8">
        <v>10</v>
      </c>
    </row>
    <row r="9" spans="2:9" x14ac:dyDescent="0.2">
      <c r="B9" t="s">
        <v>38</v>
      </c>
      <c r="C9" t="s">
        <v>42</v>
      </c>
      <c r="D9">
        <v>70</v>
      </c>
      <c r="E9">
        <v>80</v>
      </c>
      <c r="F9">
        <v>95</v>
      </c>
      <c r="G9">
        <v>50</v>
      </c>
      <c r="H9">
        <v>60</v>
      </c>
      <c r="I9">
        <v>10</v>
      </c>
    </row>
    <row r="15" spans="2:9" x14ac:dyDescent="0.2">
      <c r="F15" t="s">
        <v>50</v>
      </c>
    </row>
    <row r="17" spans="2:9" x14ac:dyDescent="0.2">
      <c r="B17" t="s">
        <v>43</v>
      </c>
    </row>
    <row r="18" spans="2:9" x14ac:dyDescent="0.2">
      <c r="B18" t="s">
        <v>1</v>
      </c>
      <c r="C18" t="s">
        <v>2</v>
      </c>
      <c r="D18" t="s">
        <v>73</v>
      </c>
      <c r="E18" t="s">
        <v>36</v>
      </c>
      <c r="F18" t="s">
        <v>37</v>
      </c>
      <c r="G18" t="s">
        <v>40</v>
      </c>
      <c r="H18" t="s">
        <v>41</v>
      </c>
      <c r="I18" t="s">
        <v>72</v>
      </c>
    </row>
    <row r="19" spans="2:9" x14ac:dyDescent="0.2">
      <c r="B19" t="s">
        <v>38</v>
      </c>
      <c r="C19" t="s">
        <v>35</v>
      </c>
      <c r="D19" t="s">
        <v>74</v>
      </c>
      <c r="E19" t="s">
        <v>46</v>
      </c>
      <c r="F19" t="s">
        <v>44</v>
      </c>
      <c r="G19" t="s">
        <v>45</v>
      </c>
      <c r="H19" t="s">
        <v>52</v>
      </c>
      <c r="I19">
        <v>25</v>
      </c>
    </row>
    <row r="20" spans="2:9" x14ac:dyDescent="0.2">
      <c r="B20" t="s">
        <v>38</v>
      </c>
      <c r="C20" t="s">
        <v>17</v>
      </c>
      <c r="D20" t="s">
        <v>51</v>
      </c>
      <c r="E20" t="s">
        <v>47</v>
      </c>
      <c r="F20" t="s">
        <v>49</v>
      </c>
      <c r="G20" t="s">
        <v>51</v>
      </c>
      <c r="H20" t="s">
        <v>53</v>
      </c>
      <c r="I20">
        <v>20</v>
      </c>
    </row>
    <row r="21" spans="2:9" x14ac:dyDescent="0.2">
      <c r="B21" t="s">
        <v>38</v>
      </c>
      <c r="C21" t="s">
        <v>39</v>
      </c>
      <c r="D21" t="s">
        <v>62</v>
      </c>
      <c r="E21" t="s">
        <v>60</v>
      </c>
      <c r="F21" t="s">
        <v>61</v>
      </c>
      <c r="G21" t="s">
        <v>62</v>
      </c>
      <c r="H21" t="s">
        <v>63</v>
      </c>
      <c r="I21">
        <v>20</v>
      </c>
    </row>
    <row r="22" spans="2:9" x14ac:dyDescent="0.2">
      <c r="B22" t="s">
        <v>38</v>
      </c>
      <c r="C22" t="s">
        <v>54</v>
      </c>
      <c r="D22" t="s">
        <v>75</v>
      </c>
      <c r="E22" t="s">
        <v>55</v>
      </c>
      <c r="F22" t="s">
        <v>56</v>
      </c>
      <c r="G22" t="s">
        <v>58</v>
      </c>
      <c r="H22" t="s">
        <v>59</v>
      </c>
      <c r="I22">
        <v>15</v>
      </c>
    </row>
    <row r="23" spans="2:9" x14ac:dyDescent="0.2">
      <c r="B23" t="s">
        <v>38</v>
      </c>
      <c r="C23" t="s">
        <v>22</v>
      </c>
      <c r="D23" t="s">
        <v>76</v>
      </c>
      <c r="E23" t="s">
        <v>64</v>
      </c>
      <c r="F23" t="s">
        <v>65</v>
      </c>
      <c r="G23" t="s">
        <v>66</v>
      </c>
      <c r="H23" t="s">
        <v>67</v>
      </c>
      <c r="I23">
        <v>10</v>
      </c>
    </row>
    <row r="24" spans="2:9" x14ac:dyDescent="0.2">
      <c r="B24" t="s">
        <v>38</v>
      </c>
      <c r="C24" t="s">
        <v>42</v>
      </c>
      <c r="D24" t="s">
        <v>77</v>
      </c>
      <c r="E24" t="s">
        <v>68</v>
      </c>
      <c r="F24" t="s">
        <v>69</v>
      </c>
      <c r="G24" t="s">
        <v>57</v>
      </c>
      <c r="H24" t="s">
        <v>70</v>
      </c>
      <c r="I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Nature by Prajwal</vt:lpstr>
      <vt:lpstr>Companies by Thijs</vt:lpstr>
      <vt:lpstr>Government by Thijmen</vt:lpstr>
      <vt:lpstr>Citizen by Amit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Tzadok</cp:lastModifiedBy>
  <dcterms:created xsi:type="dcterms:W3CDTF">2026-09-09T14:48:06Z</dcterms:created>
  <dcterms:modified xsi:type="dcterms:W3CDTF">2026-09-16T12:53:38Z</dcterms:modified>
</cp:coreProperties>
</file>